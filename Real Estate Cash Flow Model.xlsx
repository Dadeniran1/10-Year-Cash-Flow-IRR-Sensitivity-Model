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Adeniran\Documents\MBA Folder\Projects\Real Estate Cash Flow Model\"/>
    </mc:Choice>
  </mc:AlternateContent>
  <xr:revisionPtr revIDLastSave="0" documentId="13_ncr:1_{4C4813C5-3F3D-4D3D-9576-7EB019926D4C}" xr6:coauthVersionLast="47" xr6:coauthVersionMax="47" xr10:uidLastSave="{00000000-0000-0000-0000-000000000000}"/>
  <bookViews>
    <workbookView xWindow="-120" yWindow="-120" windowWidth="29040" windowHeight="15720" activeTab="1" xr2:uid="{DE4CE2BB-D239-4FC6-84BE-34B20D9E2ED3}"/>
  </bookViews>
  <sheets>
    <sheet name="Assumptions" sheetId="2" r:id="rId1"/>
    <sheet name="CF (10 Year Model)" sheetId="1" r:id="rId2"/>
    <sheet name="Model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8" i="3"/>
  <c r="B7" i="3"/>
  <c r="B6" i="3"/>
  <c r="B5" i="3"/>
  <c r="B4" i="3"/>
  <c r="B3" i="3"/>
  <c r="B2" i="3"/>
  <c r="J2" i="1"/>
  <c r="B28" i="2"/>
  <c r="B29" i="2" s="1"/>
  <c r="B27" i="2"/>
  <c r="B23" i="2"/>
  <c r="B22" i="2"/>
  <c r="B20" i="2"/>
  <c r="B19" i="2"/>
  <c r="B3" i="1"/>
  <c r="H2" i="1" l="1"/>
  <c r="C3" i="1"/>
  <c r="D3" i="1" s="1"/>
  <c r="G4" i="1"/>
  <c r="G3" i="1"/>
  <c r="G9" i="1"/>
  <c r="G8" i="1"/>
  <c r="G7" i="1"/>
  <c r="G6" i="1"/>
  <c r="G5" i="1"/>
  <c r="G10" i="1"/>
  <c r="G12" i="1"/>
  <c r="G11" i="1"/>
  <c r="B4" i="1"/>
  <c r="E3" i="1" l="1"/>
  <c r="F3" i="1" s="1"/>
  <c r="B5" i="1"/>
  <c r="C4" i="1"/>
  <c r="D4" i="1" s="1"/>
  <c r="H3" i="1" l="1"/>
  <c r="G2" i="3"/>
  <c r="E4" i="1"/>
  <c r="F4" i="1" s="1"/>
  <c r="H4" i="1" s="1"/>
  <c r="J4" i="1" s="1"/>
  <c r="B6" i="1"/>
  <c r="C5" i="1"/>
  <c r="D5" i="1" s="1"/>
  <c r="J3" i="1" l="1"/>
  <c r="E5" i="1"/>
  <c r="F5" i="1" s="1"/>
  <c r="H5" i="1" s="1"/>
  <c r="J5" i="1" s="1"/>
  <c r="B7" i="1"/>
  <c r="C6" i="1"/>
  <c r="D6" i="1" s="1"/>
  <c r="E6" i="1" l="1"/>
  <c r="F6" i="1" s="1"/>
  <c r="H6" i="1" s="1"/>
  <c r="B8" i="1"/>
  <c r="C7" i="1"/>
  <c r="D7" i="1" s="1"/>
  <c r="J6" i="1" l="1"/>
  <c r="E7" i="1"/>
  <c r="F7" i="1" s="1"/>
  <c r="H7" i="1" s="1"/>
  <c r="J7" i="1" s="1"/>
  <c r="C8" i="1"/>
  <c r="D8" i="1" s="1"/>
  <c r="B9" i="1"/>
  <c r="E8" i="1" l="1"/>
  <c r="F8" i="1" s="1"/>
  <c r="H8" i="1" s="1"/>
  <c r="J8" i="1" s="1"/>
  <c r="C9" i="1"/>
  <c r="D9" i="1" s="1"/>
  <c r="B10" i="1"/>
  <c r="C10" i="1" l="1"/>
  <c r="D10" i="1" s="1"/>
  <c r="B11" i="1"/>
  <c r="E9" i="1"/>
  <c r="F9" i="1" s="1"/>
  <c r="H9" i="1" s="1"/>
  <c r="J9" i="1" l="1"/>
  <c r="C11" i="1"/>
  <c r="D11" i="1" s="1"/>
  <c r="B12" i="1"/>
  <c r="E10" i="1"/>
  <c r="F10" i="1" s="1"/>
  <c r="H10" i="1" s="1"/>
  <c r="J10" i="1" s="1"/>
  <c r="E11" i="1" l="1"/>
  <c r="F11" i="1" s="1"/>
  <c r="H11" i="1" s="1"/>
  <c r="J11" i="1" s="1"/>
  <c r="C12" i="1"/>
  <c r="D12" i="1" s="1"/>
  <c r="E12" i="1" l="1"/>
  <c r="F12" i="1" s="1"/>
  <c r="G3" i="3" s="1"/>
  <c r="H12" i="1" l="1"/>
  <c r="G7" i="3" s="1"/>
  <c r="I12" i="1"/>
  <c r="J12" i="1" l="1"/>
  <c r="B21" i="1" s="1"/>
  <c r="G4" i="3" s="1"/>
  <c r="B24" i="1" l="1"/>
  <c r="G6" i="3" s="1"/>
  <c r="B23" i="1"/>
  <c r="G5" i="3" s="1"/>
</calcChain>
</file>

<file path=xl/sharedStrings.xml><?xml version="1.0" encoding="utf-8"?>
<sst xmlns="http://schemas.openxmlformats.org/spreadsheetml/2006/main" count="59" uniqueCount="52">
  <si>
    <t>Units</t>
  </si>
  <si>
    <t>Months per year</t>
  </si>
  <si>
    <t>Property Tax Rate</t>
  </si>
  <si>
    <t>Insurance Per Unit</t>
  </si>
  <si>
    <t>Management % of EGI</t>
  </si>
  <si>
    <t>Reparis Per Unit</t>
  </si>
  <si>
    <t>Rent Growth Rate</t>
  </si>
  <si>
    <t>Vacancy Rate</t>
  </si>
  <si>
    <t>CapEx Per Unit</t>
  </si>
  <si>
    <t>Misc Expenses</t>
  </si>
  <si>
    <t>Purchase Price</t>
  </si>
  <si>
    <t>Down Payment %</t>
  </si>
  <si>
    <t>Loan Interest Rate</t>
  </si>
  <si>
    <t>Loan Terms (Years)</t>
  </si>
  <si>
    <t>Exit Cap Rate</t>
  </si>
  <si>
    <t>Year</t>
  </si>
  <si>
    <t>GPR</t>
  </si>
  <si>
    <t>EGI</t>
  </si>
  <si>
    <t>OpEx</t>
  </si>
  <si>
    <t>NOI</t>
  </si>
  <si>
    <t>Debt Service</t>
  </si>
  <si>
    <t>CFBT</t>
  </si>
  <si>
    <t>Sale Proceeds</t>
  </si>
  <si>
    <t>Total CF</t>
  </si>
  <si>
    <t>Rent Per Unit</t>
  </si>
  <si>
    <t>Property Taxes</t>
  </si>
  <si>
    <t>Insurance</t>
  </si>
  <si>
    <t>Management</t>
  </si>
  <si>
    <t>Repairs</t>
  </si>
  <si>
    <t>CapEx</t>
  </si>
  <si>
    <t>Misc</t>
  </si>
  <si>
    <t>Loan Amount</t>
  </si>
  <si>
    <t>Monthly Payment</t>
  </si>
  <si>
    <t>Annual Debt Service</t>
  </si>
  <si>
    <t>IRR</t>
  </si>
  <si>
    <t>NPV</t>
  </si>
  <si>
    <t>PV</t>
  </si>
  <si>
    <t>Equity Multiple</t>
  </si>
  <si>
    <t>Vacancy Loss</t>
  </si>
  <si>
    <t>Annual Operating Expenses (Detailed)</t>
  </si>
  <si>
    <t>Annual Debt Service (Detailed)</t>
  </si>
  <si>
    <t>Key Assumptions</t>
  </si>
  <si>
    <t>Rent/ Unit</t>
  </si>
  <si>
    <t>Rent Growth</t>
  </si>
  <si>
    <t>Investment Results</t>
  </si>
  <si>
    <t>Year 1 NOI</t>
  </si>
  <si>
    <t>Year 10 NOI</t>
  </si>
  <si>
    <t>Avg Annual CFBT</t>
  </si>
  <si>
    <t>Loan Term (Years)</t>
  </si>
  <si>
    <t>A $200/month increase in rent per unit improves IRR by ~1.80% and turns cash flow breakeven by Year 7.</t>
  </si>
  <si>
    <t>This leveraged investment deal creates significant value relative to the equity invested</t>
  </si>
  <si>
    <t>Ad Hoc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</si>
</sst>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3" x14ac:knownFonts="1">
    <font>
      <sz val="14"/>
      <color theme="1"/>
      <name val="Times New Roman"/>
      <family val="2"/>
    </font>
    <font>
      <sz val="14"/>
      <name val="Times New Roman"/>
      <family val="2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4" fontId="0" fillId="0" borderId="0" xfId="0" applyNumberFormat="1"/>
    <xf numFmtId="8" fontId="0" fillId="0" borderId="0" xfId="0" applyNumberFormat="1"/>
    <xf numFmtId="0" fontId="0" fillId="2" borderId="0" xfId="0" applyFill="1"/>
    <xf numFmtId="44" fontId="1" fillId="3" borderId="0" xfId="0" applyNumberFormat="1" applyFont="1" applyFill="1"/>
    <xf numFmtId="44" fontId="0" fillId="4" borderId="0" xfId="0" applyNumberFormat="1" applyFill="1"/>
    <xf numFmtId="0" fontId="0" fillId="0" borderId="1" xfId="0" applyBorder="1"/>
    <xf numFmtId="42" fontId="0" fillId="0" borderId="1" xfId="0" applyNumberFormat="1" applyBorder="1"/>
    <xf numFmtId="8" fontId="0" fillId="0" borderId="1" xfId="0" applyNumberFormat="1" applyBorder="1"/>
    <xf numFmtId="39" fontId="0" fillId="0" borderId="1" xfId="0" applyNumberFormat="1" applyBorder="1"/>
    <xf numFmtId="44" fontId="0" fillId="3" borderId="0" xfId="0" applyNumberFormat="1" applyFill="1"/>
    <xf numFmtId="0" fontId="0" fillId="5" borderId="0" xfId="0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9" fontId="0" fillId="0" borderId="0" xfId="0" applyNumberFormat="1"/>
    <xf numFmtId="10" fontId="0" fillId="0" borderId="1" xfId="0" applyNumberFormat="1" applyBorder="1"/>
    <xf numFmtId="44" fontId="1" fillId="4" borderId="0" xfId="0" applyNumberFormat="1" applyFont="1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NOI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'CF (10 Year Model)'!$F$3:$F$12</c:f>
              <c:numCache>
                <c:formatCode>_("$"* #,##0.00_);_("$"* \(#,##0.00\);_("$"* "-"??_);_(@_)</c:formatCode>
                <c:ptCount val="10"/>
                <c:pt idx="0">
                  <c:v>70704</c:v>
                </c:pt>
                <c:pt idx="1">
                  <c:v>76268.160000000003</c:v>
                </c:pt>
                <c:pt idx="2">
                  <c:v>82054.886400000018</c:v>
                </c:pt>
                <c:pt idx="3">
                  <c:v>88073.081856000019</c:v>
                </c:pt>
                <c:pt idx="4">
                  <c:v>94332.005130240024</c:v>
                </c:pt>
                <c:pt idx="5">
                  <c:v>100841.28533544965</c:v>
                </c:pt>
                <c:pt idx="6">
                  <c:v>107610.93674886762</c:v>
                </c:pt>
                <c:pt idx="7">
                  <c:v>114651.37421882234</c:v>
                </c:pt>
                <c:pt idx="8">
                  <c:v>121973.42918757524</c:v>
                </c:pt>
                <c:pt idx="9">
                  <c:v>129588.36635507825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E-4B7D-868C-9BFF6723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204479"/>
        <c:axId val="876201119"/>
      </c:lineChart>
      <c:catAx>
        <c:axId val="87620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01119"/>
        <c:crosses val="autoZero"/>
        <c:auto val="1"/>
        <c:lblAlgn val="ctr"/>
        <c:lblOffset val="100"/>
        <c:noMultiLvlLbl val="0"/>
      </c:catAx>
      <c:valAx>
        <c:axId val="8762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0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CF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'CF (10 Year Model)'!$J$2:$J$12</c:f>
              <c:numCache>
                <c:formatCode>_("$"* #,##0.00_);_("$"* \(#,##0.00\);_("$"* "-"??_);_(@_)</c:formatCode>
                <c:ptCount val="11"/>
                <c:pt idx="0">
                  <c:v>-600000</c:v>
                </c:pt>
                <c:pt idx="1">
                  <c:v>-40168.564188398435</c:v>
                </c:pt>
                <c:pt idx="2">
                  <c:v>-34604.404188398432</c:v>
                </c:pt>
                <c:pt idx="3">
                  <c:v>-28817.677788398418</c:v>
                </c:pt>
                <c:pt idx="4">
                  <c:v>-22799.482332398416</c:v>
                </c:pt>
                <c:pt idx="5">
                  <c:v>-16540.559058158411</c:v>
                </c:pt>
                <c:pt idx="6">
                  <c:v>-10031.278852948788</c:v>
                </c:pt>
                <c:pt idx="7">
                  <c:v>-3261.6274395308137</c:v>
                </c:pt>
                <c:pt idx="8">
                  <c:v>3778.8100304239051</c:v>
                </c:pt>
                <c:pt idx="9">
                  <c:v>11100.864999176803</c:v>
                </c:pt>
                <c:pt idx="10">
                  <c:v>2178521.908084651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D-4F8C-A064-DFD7E87AF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461679"/>
        <c:axId val="1314465999"/>
      </c:lineChart>
      <c:catAx>
        <c:axId val="1314461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65999"/>
        <c:crosses val="autoZero"/>
        <c:auto val="1"/>
        <c:lblAlgn val="ctr"/>
        <c:lblOffset val="100"/>
        <c:noMultiLvlLbl val="0"/>
      </c:catAx>
      <c:valAx>
        <c:axId val="1314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6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14287</xdr:rowOff>
    </xdr:from>
    <xdr:to>
      <xdr:col>4</xdr:col>
      <xdr:colOff>438150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4DE88-288A-3684-B054-A50FB0ECB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11</xdr:row>
      <xdr:rowOff>4762</xdr:rowOff>
    </xdr:from>
    <xdr:to>
      <xdr:col>11</xdr:col>
      <xdr:colOff>376237</xdr:colOff>
      <xdr:row>22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2A8FB-BC57-1EC8-BCC2-C1A3D4B7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2C2A-7B17-41AF-89E3-2D9F0B67C593}">
  <dimension ref="A1:B29"/>
  <sheetViews>
    <sheetView zoomScale="93" zoomScaleNormal="93" workbookViewId="0">
      <selection activeCell="B4" sqref="B4"/>
    </sheetView>
  </sheetViews>
  <sheetFormatPr defaultRowHeight="18.75" x14ac:dyDescent="0.3"/>
  <cols>
    <col min="1" max="1" width="33" bestFit="1" customWidth="1"/>
    <col min="2" max="2" width="12.44140625" bestFit="1" customWidth="1"/>
  </cols>
  <sheetData>
    <row r="1" spans="1:2" x14ac:dyDescent="0.3">
      <c r="A1" t="s">
        <v>0</v>
      </c>
      <c r="B1">
        <v>4</v>
      </c>
    </row>
    <row r="2" spans="1:2" x14ac:dyDescent="0.3">
      <c r="A2" t="s">
        <v>24</v>
      </c>
      <c r="B2">
        <v>3500</v>
      </c>
    </row>
    <row r="3" spans="1:2" x14ac:dyDescent="0.3">
      <c r="A3" t="s">
        <v>1</v>
      </c>
      <c r="B3">
        <v>12</v>
      </c>
    </row>
    <row r="4" spans="1:2" x14ac:dyDescent="0.3">
      <c r="A4" t="s">
        <v>7</v>
      </c>
      <c r="B4">
        <v>0.1</v>
      </c>
    </row>
    <row r="5" spans="1:2" x14ac:dyDescent="0.3">
      <c r="A5" t="s">
        <v>6</v>
      </c>
      <c r="B5">
        <v>0.04</v>
      </c>
    </row>
    <row r="6" spans="1:2" x14ac:dyDescent="0.3">
      <c r="A6" t="s">
        <v>2</v>
      </c>
      <c r="B6">
        <v>2.1999999999999999E-2</v>
      </c>
    </row>
    <row r="7" spans="1:2" x14ac:dyDescent="0.3">
      <c r="A7" t="s">
        <v>3</v>
      </c>
      <c r="B7">
        <v>4000</v>
      </c>
    </row>
    <row r="8" spans="1:2" x14ac:dyDescent="0.3">
      <c r="A8" t="s">
        <v>4</v>
      </c>
      <c r="B8">
        <v>0.08</v>
      </c>
    </row>
    <row r="9" spans="1:2" x14ac:dyDescent="0.3">
      <c r="A9" t="s">
        <v>5</v>
      </c>
      <c r="B9">
        <v>1000</v>
      </c>
    </row>
    <row r="10" spans="1:2" x14ac:dyDescent="0.3">
      <c r="A10" t="s">
        <v>8</v>
      </c>
      <c r="B10">
        <v>350</v>
      </c>
    </row>
    <row r="11" spans="1:2" x14ac:dyDescent="0.3">
      <c r="A11" t="s">
        <v>9</v>
      </c>
      <c r="B11">
        <v>2500</v>
      </c>
    </row>
    <row r="12" spans="1:2" x14ac:dyDescent="0.3">
      <c r="A12" t="s">
        <v>10</v>
      </c>
      <c r="B12">
        <v>2000000</v>
      </c>
    </row>
    <row r="13" spans="1:2" x14ac:dyDescent="0.3">
      <c r="A13" t="s">
        <v>11</v>
      </c>
      <c r="B13">
        <v>0.3</v>
      </c>
    </row>
    <row r="14" spans="1:2" x14ac:dyDescent="0.3">
      <c r="A14" t="s">
        <v>12</v>
      </c>
      <c r="B14">
        <v>0.05</v>
      </c>
    </row>
    <row r="15" spans="1:2" x14ac:dyDescent="0.3">
      <c r="A15" t="s">
        <v>13</v>
      </c>
      <c r="B15">
        <v>20</v>
      </c>
    </row>
    <row r="16" spans="1:2" x14ac:dyDescent="0.3">
      <c r="A16" t="s">
        <v>14</v>
      </c>
      <c r="B16">
        <v>0.06</v>
      </c>
    </row>
    <row r="18" spans="1:2" x14ac:dyDescent="0.3">
      <c r="A18" t="s">
        <v>39</v>
      </c>
    </row>
    <row r="19" spans="1:2" x14ac:dyDescent="0.3">
      <c r="A19" t="s">
        <v>25</v>
      </c>
      <c r="B19">
        <f>B12*B6</f>
        <v>44000</v>
      </c>
    </row>
    <row r="20" spans="1:2" x14ac:dyDescent="0.3">
      <c r="A20" t="s">
        <v>26</v>
      </c>
      <c r="B20">
        <f>B7*B1</f>
        <v>16000</v>
      </c>
    </row>
    <row r="21" spans="1:2" x14ac:dyDescent="0.3">
      <c r="A21" t="s">
        <v>27</v>
      </c>
    </row>
    <row r="22" spans="1:2" x14ac:dyDescent="0.3">
      <c r="A22" t="s">
        <v>28</v>
      </c>
      <c r="B22">
        <f>B9*B1</f>
        <v>4000</v>
      </c>
    </row>
    <row r="23" spans="1:2" x14ac:dyDescent="0.3">
      <c r="A23" t="s">
        <v>29</v>
      </c>
      <c r="B23">
        <f>B10*B1</f>
        <v>1400</v>
      </c>
    </row>
    <row r="24" spans="1:2" x14ac:dyDescent="0.3">
      <c r="A24" t="s">
        <v>30</v>
      </c>
      <c r="B24">
        <v>3000</v>
      </c>
    </row>
    <row r="26" spans="1:2" x14ac:dyDescent="0.3">
      <c r="A26" t="s">
        <v>40</v>
      </c>
    </row>
    <row r="27" spans="1:2" x14ac:dyDescent="0.3">
      <c r="A27" t="s">
        <v>31</v>
      </c>
      <c r="B27">
        <f>B12*(1-B13)</f>
        <v>1400000</v>
      </c>
    </row>
    <row r="28" spans="1:2" x14ac:dyDescent="0.3">
      <c r="A28" t="s">
        <v>32</v>
      </c>
      <c r="B28" s="2">
        <f>PMT(B14/12, B15*12,-B27)</f>
        <v>9239.3803490332029</v>
      </c>
    </row>
    <row r="29" spans="1:2" x14ac:dyDescent="0.3">
      <c r="A29" t="s">
        <v>33</v>
      </c>
      <c r="B29" s="2">
        <f>B28*12</f>
        <v>110872.56418839844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67C4-FE0D-40B0-B0DA-265E0137652A}">
  <dimension ref="A1:J24"/>
  <sheetViews>
    <sheetView tabSelected="1" zoomScaleNormal="100" workbookViewId="0">
      <selection activeCell="D28" sqref="D28"/>
    </sheetView>
  </sheetViews>
  <sheetFormatPr defaultRowHeight="18.75" x14ac:dyDescent="0.3"/>
  <cols>
    <col min="1" max="1" width="13.6640625" bestFit="1" customWidth="1"/>
    <col min="2" max="2" width="13.44140625" style="1" bestFit="1" customWidth="1"/>
    <col min="3" max="3" width="12.88671875" bestFit="1" customWidth="1"/>
    <col min="4" max="4" width="12.44140625" bestFit="1" customWidth="1"/>
    <col min="5" max="5" width="11.44140625" bestFit="1" customWidth="1"/>
    <col min="6" max="6" width="12.44140625" bestFit="1" customWidth="1"/>
    <col min="7" max="7" width="11.6640625" bestFit="1" customWidth="1"/>
    <col min="8" max="8" width="13.21875" bestFit="1" customWidth="1"/>
    <col min="9" max="10" width="14.109375" bestFit="1" customWidth="1"/>
  </cols>
  <sheetData>
    <row r="1" spans="1:10" x14ac:dyDescent="0.3">
      <c r="A1" t="s">
        <v>15</v>
      </c>
      <c r="B1" s="1" t="s">
        <v>16</v>
      </c>
      <c r="C1" t="s">
        <v>38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">
      <c r="A2">
        <v>0</v>
      </c>
      <c r="H2" s="1">
        <f>J2</f>
        <v>-600000</v>
      </c>
      <c r="I2" s="3"/>
      <c r="J2" s="10">
        <f>Assumptions!B27-Assumptions!B12</f>
        <v>-600000</v>
      </c>
    </row>
    <row r="3" spans="1:10" x14ac:dyDescent="0.3">
      <c r="A3">
        <v>1</v>
      </c>
      <c r="B3" s="1">
        <f>Assumptions!B1*Assumptions!B2*Assumptions!B3</f>
        <v>168000</v>
      </c>
      <c r="C3" s="1">
        <f>B3*Assumptions!B4</f>
        <v>16800</v>
      </c>
      <c r="D3" s="1">
        <f>B3-C3</f>
        <v>151200</v>
      </c>
      <c r="E3" s="1">
        <f>Assumptions!B19+Assumptions!B20+(D3*Assumptions!B8)+Assumptions!B22+Assumptions!B23+Assumptions!B24</f>
        <v>80496</v>
      </c>
      <c r="F3" s="1">
        <f>D3-E3</f>
        <v>70704</v>
      </c>
      <c r="G3" s="2">
        <f>Assumptions!B29</f>
        <v>110872.56418839844</v>
      </c>
      <c r="H3" s="1">
        <f>F3-G3</f>
        <v>-40168.564188398435</v>
      </c>
      <c r="I3" s="3"/>
      <c r="J3" s="4">
        <f>H3</f>
        <v>-40168.564188398435</v>
      </c>
    </row>
    <row r="4" spans="1:10" x14ac:dyDescent="0.3">
      <c r="A4">
        <v>2</v>
      </c>
      <c r="B4" s="1">
        <f>B3*(1+Assumptions!B5)</f>
        <v>174720</v>
      </c>
      <c r="C4" s="1">
        <f>B4*Assumptions!B4</f>
        <v>17472</v>
      </c>
      <c r="D4" s="1">
        <f>B4-C4</f>
        <v>157248</v>
      </c>
      <c r="E4" s="1">
        <f>Assumptions!B19+Assumptions!B20+(D4*Assumptions!B8)+Assumptions!B22+Assumptions!B23+Assumptions!B24</f>
        <v>80979.839999999997</v>
      </c>
      <c r="F4" s="1">
        <f>D4-E4</f>
        <v>76268.160000000003</v>
      </c>
      <c r="G4" s="2">
        <f>Assumptions!B29</f>
        <v>110872.56418839844</v>
      </c>
      <c r="H4" s="1">
        <f>F4-G4</f>
        <v>-34604.404188398432</v>
      </c>
      <c r="I4" s="3"/>
      <c r="J4" s="4">
        <f t="shared" ref="J4:J11" si="0">H4</f>
        <v>-34604.404188398432</v>
      </c>
    </row>
    <row r="5" spans="1:10" x14ac:dyDescent="0.3">
      <c r="A5">
        <v>3</v>
      </c>
      <c r="B5" s="1">
        <f>B4*(1+ Assumptions!B5)</f>
        <v>181708.80000000002</v>
      </c>
      <c r="C5" s="1">
        <f>B5*Assumptions!B4</f>
        <v>18170.88</v>
      </c>
      <c r="D5" s="1">
        <f t="shared" ref="D5:D12" si="1">B5-C5</f>
        <v>163537.92000000001</v>
      </c>
      <c r="E5" s="1">
        <f>Assumptions!B19+Assumptions!B20+(D5*Assumptions!B8)+Assumptions!B22+Assumptions!B23+Assumptions!B24</f>
        <v>81483.033599999995</v>
      </c>
      <c r="F5" s="1">
        <f t="shared" ref="F5:F12" si="2">D5-E5</f>
        <v>82054.886400000018</v>
      </c>
      <c r="G5" s="2">
        <f>Assumptions!B29</f>
        <v>110872.56418839844</v>
      </c>
      <c r="H5" s="1">
        <f t="shared" ref="H5:H12" si="3">F5-G5</f>
        <v>-28817.677788398418</v>
      </c>
      <c r="I5" s="3"/>
      <c r="J5" s="4">
        <f t="shared" si="0"/>
        <v>-28817.677788398418</v>
      </c>
    </row>
    <row r="6" spans="1:10" x14ac:dyDescent="0.3">
      <c r="A6">
        <v>4</v>
      </c>
      <c r="B6" s="1">
        <f>B5*(1+ Assumptions!B5)</f>
        <v>188977.15200000003</v>
      </c>
      <c r="C6" s="1">
        <f>B6*Assumptions!B4</f>
        <v>18897.715200000002</v>
      </c>
      <c r="D6" s="1">
        <f t="shared" si="1"/>
        <v>170079.43680000002</v>
      </c>
      <c r="E6" s="1">
        <f>Assumptions!B19+Assumptions!B20+(D6*Assumptions!B8)+Assumptions!B22+Assumptions!B23+Assumptions!B24</f>
        <v>82006.354944000006</v>
      </c>
      <c r="F6" s="1">
        <f t="shared" si="2"/>
        <v>88073.081856000019</v>
      </c>
      <c r="G6" s="2">
        <f>Assumptions!B29</f>
        <v>110872.56418839844</v>
      </c>
      <c r="H6" s="1">
        <f t="shared" si="3"/>
        <v>-22799.482332398416</v>
      </c>
      <c r="I6" s="3"/>
      <c r="J6" s="4">
        <f t="shared" si="0"/>
        <v>-22799.482332398416</v>
      </c>
    </row>
    <row r="7" spans="1:10" x14ac:dyDescent="0.3">
      <c r="A7">
        <v>5</v>
      </c>
      <c r="B7" s="1">
        <f>B6*(1+ Assumptions!B5)</f>
        <v>196536.23808000004</v>
      </c>
      <c r="C7" s="1">
        <f>B7*Assumptions!B4</f>
        <v>19653.623808000004</v>
      </c>
      <c r="D7" s="1">
        <f t="shared" si="1"/>
        <v>176882.61427200004</v>
      </c>
      <c r="E7" s="1">
        <f>Assumptions!B19+Assumptions!B20+(D7*Assumptions!B8)+Assumptions!B22+Assumptions!B23+Assumptions!B24</f>
        <v>82550.609141760011</v>
      </c>
      <c r="F7" s="1">
        <f t="shared" si="2"/>
        <v>94332.005130240024</v>
      </c>
      <c r="G7" s="2">
        <f>Assumptions!B29</f>
        <v>110872.56418839844</v>
      </c>
      <c r="H7" s="1">
        <f t="shared" si="3"/>
        <v>-16540.559058158411</v>
      </c>
      <c r="I7" s="3"/>
      <c r="J7" s="4">
        <f t="shared" si="0"/>
        <v>-16540.559058158411</v>
      </c>
    </row>
    <row r="8" spans="1:10" x14ac:dyDescent="0.3">
      <c r="A8">
        <v>6</v>
      </c>
      <c r="B8" s="1">
        <f>B7*(1+ Assumptions!B5)</f>
        <v>204397.68760320006</v>
      </c>
      <c r="C8" s="1">
        <f>B8*Assumptions!B4</f>
        <v>20439.768760320007</v>
      </c>
      <c r="D8" s="1">
        <f t="shared" si="1"/>
        <v>183957.91884288006</v>
      </c>
      <c r="E8" s="1">
        <f>Assumptions!B19+Assumptions!B20+(D8*Assumptions!B8)+Assumptions!B22+Assumptions!B23+Assumptions!B24</f>
        <v>83116.633507430408</v>
      </c>
      <c r="F8" s="1">
        <f t="shared" si="2"/>
        <v>100841.28533544965</v>
      </c>
      <c r="G8" s="2">
        <f>Assumptions!B29</f>
        <v>110872.56418839844</v>
      </c>
      <c r="H8" s="1">
        <f t="shared" si="3"/>
        <v>-10031.278852948788</v>
      </c>
      <c r="I8" s="3"/>
      <c r="J8" s="4">
        <f t="shared" si="0"/>
        <v>-10031.278852948788</v>
      </c>
    </row>
    <row r="9" spans="1:10" x14ac:dyDescent="0.3">
      <c r="A9">
        <v>7</v>
      </c>
      <c r="B9" s="1">
        <f>B8*(1+ Assumptions!B5)</f>
        <v>212573.59510732806</v>
      </c>
      <c r="C9" s="1">
        <f>B9*Assumptions!B4</f>
        <v>21257.359510732807</v>
      </c>
      <c r="D9" s="1">
        <f t="shared" si="1"/>
        <v>191316.23559659524</v>
      </c>
      <c r="E9" s="1">
        <f>Assumptions!B19+Assumptions!B20+(D9*Assumptions!B8)+Assumptions!B22+Assumptions!B23+Assumptions!B24</f>
        <v>83705.298847727623</v>
      </c>
      <c r="F9" s="1">
        <f t="shared" si="2"/>
        <v>107610.93674886762</v>
      </c>
      <c r="G9" s="2">
        <f>Assumptions!B29</f>
        <v>110872.56418839844</v>
      </c>
      <c r="H9" s="1">
        <f t="shared" si="3"/>
        <v>-3261.6274395308137</v>
      </c>
      <c r="I9" s="3"/>
      <c r="J9" s="4">
        <f t="shared" si="0"/>
        <v>-3261.6274395308137</v>
      </c>
    </row>
    <row r="10" spans="1:10" x14ac:dyDescent="0.3">
      <c r="A10">
        <v>8</v>
      </c>
      <c r="B10" s="1">
        <f>B9*(1+ Assumptions!B5)</f>
        <v>221076.5389116212</v>
      </c>
      <c r="C10" s="1">
        <f>B10*Assumptions!B4</f>
        <v>22107.653891162121</v>
      </c>
      <c r="D10" s="1">
        <f t="shared" si="1"/>
        <v>198968.88502045907</v>
      </c>
      <c r="E10" s="1">
        <f>Assumptions!B19+Assumptions!B20+(D10*Assumptions!B8)+Assumptions!B22+Assumptions!B23+Assumptions!B24</f>
        <v>84317.51080163673</v>
      </c>
      <c r="F10" s="1">
        <f t="shared" si="2"/>
        <v>114651.37421882234</v>
      </c>
      <c r="G10" s="2">
        <f>Assumptions!B29</f>
        <v>110872.56418839844</v>
      </c>
      <c r="H10" s="1">
        <f t="shared" si="3"/>
        <v>3778.8100304239051</v>
      </c>
      <c r="I10" s="3"/>
      <c r="J10" s="17">
        <f t="shared" si="0"/>
        <v>3778.8100304239051</v>
      </c>
    </row>
    <row r="11" spans="1:10" x14ac:dyDescent="0.3">
      <c r="A11">
        <v>9</v>
      </c>
      <c r="B11" s="1">
        <f>B10*(1+ Assumptions!B5)</f>
        <v>229919.60046808605</v>
      </c>
      <c r="C11" s="1">
        <f>B11*Assumptions!B4</f>
        <v>22991.960046808606</v>
      </c>
      <c r="D11" s="1">
        <f t="shared" si="1"/>
        <v>206927.64042127744</v>
      </c>
      <c r="E11" s="1">
        <f>Assumptions!B19+Assumptions!B20+(D11*Assumptions!B8)+Assumptions!B22+Assumptions!B23+Assumptions!B24</f>
        <v>84954.211233702197</v>
      </c>
      <c r="F11" s="1">
        <f t="shared" si="2"/>
        <v>121973.42918757524</v>
      </c>
      <c r="G11" s="2">
        <f>Assumptions!B29</f>
        <v>110872.56418839844</v>
      </c>
      <c r="H11" s="1">
        <f t="shared" si="3"/>
        <v>11100.864999176803</v>
      </c>
      <c r="I11" s="3"/>
      <c r="J11" s="5">
        <f t="shared" si="0"/>
        <v>11100.864999176803</v>
      </c>
    </row>
    <row r="12" spans="1:10" x14ac:dyDescent="0.3">
      <c r="A12">
        <v>10</v>
      </c>
      <c r="B12" s="1">
        <f>B11*(1+ Assumptions!B5)</f>
        <v>239116.38448680949</v>
      </c>
      <c r="C12" s="1">
        <f>B12*Assumptions!B4</f>
        <v>23911.638448680951</v>
      </c>
      <c r="D12" s="1">
        <f t="shared" si="1"/>
        <v>215204.74603812853</v>
      </c>
      <c r="E12" s="1">
        <f>Assumptions!B19+Assumptions!B20+(D12*Assumptions!B8)+Assumptions!B22+Assumptions!B23+Assumptions!B24</f>
        <v>85616.379683050283</v>
      </c>
      <c r="F12" s="1">
        <f t="shared" si="2"/>
        <v>129588.36635507825</v>
      </c>
      <c r="G12" s="2">
        <f>Assumptions!B29</f>
        <v>110872.56418839844</v>
      </c>
      <c r="H12" s="1">
        <f t="shared" si="3"/>
        <v>18715.802166679816</v>
      </c>
      <c r="I12" s="1">
        <f>F12/Assumptions!B16</f>
        <v>2159806.1059179711</v>
      </c>
      <c r="J12" s="5">
        <f>H12+I12</f>
        <v>2178521.908084651</v>
      </c>
    </row>
    <row r="15" spans="1:10" x14ac:dyDescent="0.3">
      <c r="J15" s="1"/>
    </row>
    <row r="21" spans="1:2" x14ac:dyDescent="0.3">
      <c r="A21" s="6" t="s">
        <v>34</v>
      </c>
      <c r="B21" s="16">
        <f>IRR(J2:J12)</f>
        <v>0.11877558250465547</v>
      </c>
    </row>
    <row r="22" spans="1:2" x14ac:dyDescent="0.3">
      <c r="A22" s="6" t="s">
        <v>36</v>
      </c>
      <c r="B22" s="7">
        <f>J12/(1+0.1)^10</f>
        <v>839914.50253725576</v>
      </c>
    </row>
    <row r="23" spans="1:2" x14ac:dyDescent="0.3">
      <c r="A23" s="6" t="s">
        <v>35</v>
      </c>
      <c r="B23" s="8">
        <f>NPV(0.1, J4:J12) + (Assumptions!B12*Assumptions!B13)</f>
        <v>1439252.1518652332</v>
      </c>
    </row>
    <row r="24" spans="1:2" x14ac:dyDescent="0.3">
      <c r="A24" s="6" t="s">
        <v>37</v>
      </c>
      <c r="B24" s="9">
        <f>SUM(J3:J12)/(Assumptions!B12* Assumptions!B13)</f>
        <v>3.3952966487767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F01C-AF89-4331-8FF5-67228DA13708}">
  <dimension ref="A1:H27"/>
  <sheetViews>
    <sheetView workbookViewId="0">
      <selection activeCell="G3" sqref="G3"/>
    </sheetView>
  </sheetViews>
  <sheetFormatPr defaultRowHeight="18.75" x14ac:dyDescent="0.3"/>
  <cols>
    <col min="1" max="1" width="16.33203125" bestFit="1" customWidth="1"/>
    <col min="2" max="2" width="14.109375" bestFit="1" customWidth="1"/>
    <col min="6" max="6" width="16.77734375" bestFit="1" customWidth="1"/>
    <col min="7" max="7" width="13.44140625" bestFit="1" customWidth="1"/>
  </cols>
  <sheetData>
    <row r="1" spans="1:7" x14ac:dyDescent="0.3">
      <c r="A1" s="11" t="s">
        <v>41</v>
      </c>
      <c r="B1" s="11"/>
      <c r="F1" s="11" t="s">
        <v>44</v>
      </c>
      <c r="G1" s="11"/>
    </row>
    <row r="2" spans="1:7" x14ac:dyDescent="0.3">
      <c r="A2" t="s">
        <v>10</v>
      </c>
      <c r="B2" s="13">
        <f>Assumptions!B12</f>
        <v>2000000</v>
      </c>
      <c r="F2" t="s">
        <v>45</v>
      </c>
      <c r="G2" s="1">
        <f>'CF (10 Year Model)'!F3</f>
        <v>70704</v>
      </c>
    </row>
    <row r="3" spans="1:7" x14ac:dyDescent="0.3">
      <c r="A3" t="s">
        <v>42</v>
      </c>
      <c r="B3" s="13">
        <f>Assumptions!B2</f>
        <v>3500</v>
      </c>
      <c r="F3" t="s">
        <v>46</v>
      </c>
      <c r="G3" s="1">
        <f>'CF (10 Year Model)'!F12</f>
        <v>129588.36635507825</v>
      </c>
    </row>
    <row r="4" spans="1:7" x14ac:dyDescent="0.3">
      <c r="A4" t="s">
        <v>43</v>
      </c>
      <c r="B4" s="14">
        <f>Assumptions!B5</f>
        <v>0.04</v>
      </c>
      <c r="F4" t="s">
        <v>34</v>
      </c>
      <c r="G4" s="12">
        <f>'CF (10 Year Model)'!B21</f>
        <v>0.11877558250465547</v>
      </c>
    </row>
    <row r="5" spans="1:7" x14ac:dyDescent="0.3">
      <c r="A5" t="s">
        <v>7</v>
      </c>
      <c r="B5" s="14">
        <f>Assumptions!B4</f>
        <v>0.1</v>
      </c>
      <c r="F5" t="s">
        <v>35</v>
      </c>
      <c r="G5" s="2">
        <f>'CF (10 Year Model)'!B23</f>
        <v>1439252.1518652332</v>
      </c>
    </row>
    <row r="6" spans="1:7" x14ac:dyDescent="0.3">
      <c r="A6" t="s">
        <v>12</v>
      </c>
      <c r="B6" s="14">
        <f>Assumptions!B14</f>
        <v>0.05</v>
      </c>
      <c r="F6" t="s">
        <v>37</v>
      </c>
      <c r="G6" s="15">
        <f>'CF (10 Year Model)'!B24</f>
        <v>3.3952966487767</v>
      </c>
    </row>
    <row r="7" spans="1:7" x14ac:dyDescent="0.3">
      <c r="A7" t="s">
        <v>48</v>
      </c>
      <c r="B7">
        <f>Assumptions!B15</f>
        <v>20</v>
      </c>
      <c r="F7" t="s">
        <v>47</v>
      </c>
      <c r="G7" s="1">
        <f>AVERAGE('CF (10 Year Model)'!H2:H12)</f>
        <v>-65693.465150177377</v>
      </c>
    </row>
    <row r="8" spans="1:7" x14ac:dyDescent="0.3">
      <c r="A8" t="s">
        <v>14</v>
      </c>
      <c r="B8">
        <f>Assumptions!B16</f>
        <v>0.06</v>
      </c>
    </row>
    <row r="25" spans="1:8" x14ac:dyDescent="0.3">
      <c r="A25" s="19" t="s">
        <v>51</v>
      </c>
      <c r="B25" s="18"/>
      <c r="C25" s="18"/>
      <c r="D25" s="18"/>
      <c r="E25" s="18"/>
      <c r="F25" s="18"/>
      <c r="G25" s="18"/>
      <c r="H25" s="18"/>
    </row>
    <row r="26" spans="1:8" x14ac:dyDescent="0.3">
      <c r="A26" s="18" t="s">
        <v>49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8" t="s">
        <v>50</v>
      </c>
      <c r="B27" s="18"/>
      <c r="C27" s="18"/>
      <c r="D27" s="18"/>
      <c r="E27" s="18"/>
      <c r="F27" s="18"/>
      <c r="G27" s="18"/>
      <c r="H27" s="18"/>
    </row>
  </sheetData>
  <mergeCells count="3">
    <mergeCell ref="A26:H26"/>
    <mergeCell ref="A27:H27"/>
    <mergeCell ref="A25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CF (10 Year Model)</vt:lpstr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Adeniran</dc:creator>
  <cp:lastModifiedBy>Daniel Adeniran</cp:lastModifiedBy>
  <dcterms:created xsi:type="dcterms:W3CDTF">2025-11-27T20:21:13Z</dcterms:created>
  <dcterms:modified xsi:type="dcterms:W3CDTF">2026-03-24T20:11:25Z</dcterms:modified>
</cp:coreProperties>
</file>